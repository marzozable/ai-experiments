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ira Data" sheetId="1" r:id="rId4"/>
    <sheet state="visible" name="# per Client" sheetId="2" r:id="rId5"/>
  </sheets>
  <definedNames>
    <definedName hidden="1" localSheetId="0" name="_xlnm._FilterDatabase">'Jira Data'!$E$1:$AD$32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<sst xmlns="http://schemas.openxmlformats.org/spreadsheetml/2006/main" count="441" uniqueCount="122">
  <si>
    <t>Issue Type</t>
  </si>
  <si>
    <t>Key</t>
  </si>
  <si>
    <t>Summary</t>
  </si>
  <si>
    <t>Status</t>
  </si>
  <si>
    <t>Created</t>
  </si>
  <si>
    <t>Salesforce ID</t>
  </si>
  <si>
    <t>Due date</t>
  </si>
  <si>
    <t>Fix versions</t>
  </si>
  <si>
    <t>Resolution</t>
  </si>
  <si>
    <t>Client(s)</t>
  </si>
  <si>
    <t>Labels</t>
  </si>
  <si>
    <t>Clients</t>
  </si>
  <si>
    <t>Bug</t>
  </si>
  <si>
    <t>Mobile - FMS move in - send request button missing</t>
  </si>
  <si>
    <t>Ready for Deployment</t>
  </si>
  <si>
    <t>a1iPJ000000t1zZYAQ</t>
  </si>
  <si>
    <t>Edge 2026.02.0 - 01/06/2026</t>
  </si>
  <si>
    <t/>
  </si>
  <si>
    <t>edge-holiday-blitzen-2025;prio-software</t>
  </si>
  <si>
    <t>West Coast</t>
  </si>
  <si>
    <t>Edge Trailing day reports: UI indicators (clock icon &amp; date picker) not reflected at Corporate level after flipper enablement</t>
  </si>
  <si>
    <t>Testing</t>
  </si>
  <si>
    <t>Other</t>
  </si>
  <si>
    <t>Task List - custom task for occupied unit doesn't attach</t>
  </si>
  <si>
    <t>a1iPJ000000srLuYAI</t>
  </si>
  <si>
    <t>StorageMart;West Coast</t>
  </si>
  <si>
    <t>Reversing payment as chargeback fails for moved out ledger</t>
  </si>
  <si>
    <t>a1iPJ000000s7CbYAI</t>
  </si>
  <si>
    <t>StorQuest</t>
  </si>
  <si>
    <t>StorageMart</t>
  </si>
  <si>
    <t>Replacement term ledger.insurance_premium_inc_tax showing wrong amount</t>
  </si>
  <si>
    <t>a1iPJ000000s3TxYAI</t>
  </si>
  <si>
    <t>edge-holiday-blitzen-2025;otr_bugs_2026;prio-software</t>
  </si>
  <si>
    <t>In mobile view switch facility button brings me to middle of list instead of top of list</t>
  </si>
  <si>
    <t>a1iPJ000000sQwnYAE</t>
  </si>
  <si>
    <t>otr_bugs_2025;prio-software</t>
  </si>
  <si>
    <t>Storage King</t>
  </si>
  <si>
    <t>API permissions removed</t>
  </si>
  <si>
    <t>a1iPJ000000rlLlYAI</t>
  </si>
  <si>
    <t>prio-software</t>
  </si>
  <si>
    <t>National Storage Management</t>
  </si>
  <si>
    <t>edge-2025-blitz-top-30;edge-holiday-blitzen-2025;jl_bugs_2026;prio-software</t>
  </si>
  <si>
    <t>UnInsured Endpoint is providing tenants with a future cancellation date for their coverage</t>
  </si>
  <si>
    <t>Move Ins KPI report - autopay percent missing future move ins</t>
  </si>
  <si>
    <t>a1iPJ000000q8azYAA</t>
  </si>
  <si>
    <t>Inactive user attached to actions in tenant history.</t>
  </si>
  <si>
    <t>a1iPJ000000q5wTYAQ</t>
  </si>
  <si>
    <t>MyPlace</t>
  </si>
  <si>
    <t>edge-2025-blitz-top-30;edge-holiday-blitzen-2025;prio-software</t>
  </si>
  <si>
    <t>Reservation Fee Credit upon Move In Leaving Open A/R</t>
  </si>
  <si>
    <t>a1iPJ000000pxu5YAA</t>
  </si>
  <si>
    <t>Copper</t>
  </si>
  <si>
    <t>Can't Void Auction Payments</t>
  </si>
  <si>
    <t>a1iPJ000000ok7hYAA</t>
  </si>
  <si>
    <t>A-American</t>
  </si>
  <si>
    <t>Columbia;West Coast</t>
  </si>
  <si>
    <t>Columbia, West Coast</t>
  </si>
  <si>
    <t>Corporate Merchandise Inventory Detail report - excel / csv export error</t>
  </si>
  <si>
    <t>a1iPJ000000oIjJYAU</t>
  </si>
  <si>
    <t>Copper;StorageMart</t>
  </si>
  <si>
    <t>Leads missing from Corporate level Lead Activity (Excel Export) report.</t>
  </si>
  <si>
    <t>a1iPJ000000naQXYAY</t>
  </si>
  <si>
    <t>Public Storage Canada</t>
  </si>
  <si>
    <t>Surcharge fee persists after changing payment method when using Promotion.</t>
  </si>
  <si>
    <t>a1iPJ000000n6nRYAQ</t>
  </si>
  <si>
    <t>General page - Paid Through date not updating</t>
  </si>
  <si>
    <t>a1iPJ000000mipxYAA</t>
  </si>
  <si>
    <t>Copper;Go Store It;StorageMart</t>
  </si>
  <si>
    <t>edge-2025-blitz-top-30;edge-holiday-blitzen-2025;ins_dependency;prio-insurance;prio-software</t>
  </si>
  <si>
    <t>When attempting a "balance" payment via the API it returns an "addons payment amount" error.</t>
  </si>
  <si>
    <t>a1iPJ000000lSthYAE</t>
  </si>
  <si>
    <t>All Aboard Storage</t>
  </si>
  <si>
    <t>Move Out failing - insurance item must belong to facility's insurance policy</t>
  </si>
  <si>
    <t>a1iPJ000000kmODYAY</t>
  </si>
  <si>
    <t>A-American;MyPlace</t>
  </si>
  <si>
    <t>StorageMart;StorQuest</t>
  </si>
  <si>
    <t>edge-holiday-blitzen-2025;jl_bugs_2026;prio-software</t>
  </si>
  <si>
    <t>Mailhouse &gt; View Confirmation failing to load</t>
  </si>
  <si>
    <t>a1iPJ000000k7EbYAI</t>
  </si>
  <si>
    <t>jl_bugs_2026;prio-software</t>
  </si>
  <si>
    <t>Spartan</t>
  </si>
  <si>
    <t>Insurance Expiring tasks - updating insurance does not resolve event</t>
  </si>
  <si>
    <t>a1iPJ000000iJmvYAE</t>
  </si>
  <si>
    <t>The Storage Mall</t>
  </si>
  <si>
    <t>Unit Categories page goes blank when amenities condition is present</t>
  </si>
  <si>
    <t>a1iPJ000000iBW1YAM</t>
  </si>
  <si>
    <t>Deleted units available for scheduled transfer</t>
  </si>
  <si>
    <t>a1iPJ000000iIkPYAU</t>
  </si>
  <si>
    <t>Go Store It</t>
  </si>
  <si>
    <t>Cannot move out tenant - BSON serialized type error</t>
  </si>
  <si>
    <t>a1iPJ000000gex7YAA</t>
  </si>
  <si>
    <t>Last payment Column on Past due tab is incorrect for several tenants.</t>
  </si>
  <si>
    <t>a1iPJ000000fnrBYAQ</t>
  </si>
  <si>
    <t>StorEase</t>
  </si>
  <si>
    <t>Root Cause: Unable to Undo Delete for Units</t>
  </si>
  <si>
    <t>a1iPJ000000eEc9YAE</t>
  </si>
  <si>
    <t>Issue credits permission - per user / rental limit maximum</t>
  </si>
  <si>
    <t>a1iPJ000000bFePYAU</t>
  </si>
  <si>
    <t>Retail qty error from Bad debt write off</t>
  </si>
  <si>
    <t>a1iPJ000000aVV7YAM</t>
  </si>
  <si>
    <t>10 Federal</t>
  </si>
  <si>
    <t>Go Store It API Move in rate issue</t>
  </si>
  <si>
    <t>a1iPJ000000V0zpYAC</t>
  </si>
  <si>
    <t>Future Move Ins - early check in rates incorrect</t>
  </si>
  <si>
    <t>a1iPJ000000Ung1YAC</t>
  </si>
  <si>
    <t>Default Role does not do anything (non-Storable ID)</t>
  </si>
  <si>
    <t>a1iPJ000000UnRVYA0</t>
  </si>
  <si>
    <t>code_cs_email_sent;code_notified;code_notified_yellow;edge-holiday-blitzen-2025;prio-software</t>
  </si>
  <si>
    <t>The Lock Up</t>
  </si>
  <si>
    <t>Schedule Transfer allows transferring to unrentable units</t>
  </si>
  <si>
    <t>a1iPJ000000TxSvYAK</t>
  </si>
  <si>
    <t>The v2 StorEDGE API is returning improperly encoded JSON responses</t>
  </si>
  <si>
    <t>a1iPJ000000QxndYAC</t>
  </si>
  <si>
    <t>Delinquency - insurance projected cancellation date not filling</t>
  </si>
  <si>
    <t>Ready for PM Review</t>
  </si>
  <si>
    <t>a1iPJ000000PWHdYAO</t>
  </si>
  <si>
    <t>500 error on Facility level refunds report, 11/14/24</t>
  </si>
  <si>
    <t>a1iPJ000000LyNlYAK</t>
  </si>
  <si>
    <t>500 error on facility level refunds report, 11/14/24, 11/15/24</t>
  </si>
  <si>
    <t>a1iPJ000000L8AfYAK</t>
  </si>
  <si>
    <t>COUNTA of Clients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</si>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</sst>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164" xfId="0" applyFont="1" applyNumberFormat="1"/>
    <xf borderId="0" fillId="0" fontId="1" numFmtId="1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50" sheet="Jira Data"/>
  </cacheSource>
  <cacheFields>
    <cacheField name="Issue Type" numFmtId="0">
      <sharedItems containsBlank="1">
        <s v="Bug"/>
        <m/>
      </sharedItems>
    </cacheField>
    <cacheField name="Key" numFmtId="0">
      <sharedItems containsBlank="1">
        <s v="STOR-21244"/>
        <s v="STOR-21222"/>
        <s v="STOR-21209"/>
        <s v="STOR-21099"/>
        <s v="STOR-21074"/>
        <s v="STOR-21049"/>
        <s v="STOR-21041"/>
        <s v="STOR-21024"/>
        <s v="STOR-20881"/>
        <s v="STOR-20864"/>
        <s v="STOR-20845"/>
        <s v="STOR-20733"/>
        <s v="STOR-20688"/>
        <s v="STOR-20637"/>
        <s v="STOR-20568"/>
        <s v="STOR-20538"/>
        <s v="STOR-20420"/>
        <s v="STOR-20327"/>
        <s v="STOR-20236"/>
        <s v="STOR-20020"/>
        <s v="STOR-19951"/>
        <s v="STOR-19950"/>
        <s v="STOR-19771"/>
        <s v="STOR-19624"/>
        <s v="STOR-19425"/>
        <s v="STOR-19149"/>
        <s v="STOR-19044"/>
        <s v="STOR-18335"/>
        <s v="STOR-18310"/>
        <s v="STOR-18270"/>
        <s v="STOR-18136"/>
        <s v="STOR-17626"/>
        <s v="STOR-17269"/>
        <s v="STOR-16711"/>
        <s v="STOR-16167"/>
        <m/>
      </sharedItems>
    </cacheField>
    <cacheField name="Summary" numFmtId="0">
      <sharedItems containsBlank="1">
        <s v="Mobile - FMS move in - send request button missing"/>
        <s v="Edge Trailing day reports: UI indicators (clock icon &amp; date picker) not reflected at Corporate level after flipper enablement"/>
        <s v="Task List - custom task for occupied unit doesn't attach"/>
        <s v="Reversing payment as chargeback fails for moved out ledger"/>
        <s v="Replacement term ledger.insurance_premium_inc_tax showing wrong amount"/>
        <s v="In mobile view switch facility button brings me to middle of list instead of top of list"/>
        <s v="API permissions removed"/>
        <s v="UnInsured Endpoint is providing tenants with a future cancellation date for their coverage"/>
        <s v="Move Ins KPI report - autopay percent missing future move ins"/>
        <s v="Inactive user attached to actions in tenant history."/>
        <s v="Reservation Fee Credit upon Move In Leaving Open A/R"/>
        <s v="Can't Void Auction Payments"/>
        <s v="Corporate Merchandise Inventory Detail report - excel / csv export error"/>
        <s v="Leads missing from Corporate level Lead Activity (Excel Export) report."/>
        <s v="Surcharge fee persists after changing payment method when using Promotion."/>
        <s v="General page - Paid Through date not updating"/>
        <s v="When attempting a &quot;balance&quot; payment via the API it returns an &quot;addons payment amount&quot; error."/>
        <s v="Move Out failing - insurance item must belong to facility's insurance policy"/>
        <s v="Mailhouse &gt; View Confirmation failing to load"/>
        <s v="Insurance Expiring tasks - updating insurance does not resolve event"/>
        <s v="Unit Categories page goes blank when amenities condition is present"/>
        <s v="Deleted units available for scheduled transfer"/>
        <s v="Cannot move out tenant - BSON serialized type error"/>
        <s v="Last payment Column on Past due tab is incorrect for several tenants."/>
        <s v="Root Cause: Unable to Undo Delete for Units"/>
        <s v="Issue credits permission - per user / rental limit maximum"/>
        <s v="Retail qty error from Bad debt write off"/>
        <s v="Go Store It API Move in rate issue"/>
        <s v="Future Move Ins - early check in rates incorrect"/>
        <s v="Default Role does not do anything (non-Storable ID)"/>
        <s v="Schedule Transfer allows transferring to unrentable units"/>
        <s v="The v2 StorEDGE API is returning improperly encoded JSON responses"/>
        <s v="Delinquency - insurance projected cancellation date not filling"/>
        <s v="500 error on Facility level refunds report, 11/14/24"/>
        <s v="500 error on facility level refunds report, 11/14/24, 11/15/24"/>
        <m/>
      </sharedItems>
    </cacheField>
    <cacheField name="Status" numFmtId="0">
      <sharedItems containsBlank="1">
        <s v="Ready for Deployment"/>
        <s v="Testing"/>
        <s v="Ready for PM Review"/>
        <m/>
      </sharedItems>
    </cacheField>
    <cacheField name="Created" numFmtId="164">
      <sharedItems containsDate="1" containsString="0" containsBlank="1">
        <d v="2025-12-23T12:02:15Z"/>
        <d v="2025-12-23T10:44:11Z"/>
        <d v="2025-12-21T11:56:59Z"/>
        <d v="2025-12-13T08:14:46Z"/>
        <d v="2025-12-12T12:16:14Z"/>
        <d v="2025-12-10T23:49:55Z"/>
        <d v="2025-12-10T12:00:47Z"/>
        <d v="2025-12-05T04:18:21Z"/>
        <d v="2025-11-25T11:03:43Z"/>
        <d v="2025-11-25T07:58:51Z"/>
        <d v="2025-11-24T08:35:41Z"/>
        <d v="2025-11-13T08:18:24Z"/>
        <d v="2025-11-08T09:42:01Z"/>
        <d v="2025-11-04T07:55:59Z"/>
        <d v="2025-10-30T08:39:23Z"/>
        <d v="2025-10-25T13:18:51Z"/>
        <d v="2025-10-15T08:31:05Z"/>
        <d v="2025-10-07T10:31:43Z"/>
        <d v="2025-09-30T15:54:20Z"/>
        <d v="2025-09-14T10:33:31Z"/>
        <d v="2025-09-12T17:14:42Z"/>
        <d v="2025-09-13T15:42:51Z"/>
        <d v="2025-08-27T10:36:46Z"/>
        <d v="2025-08-19T07:40:48Z"/>
        <d v="2025-07-30T09:39:36Z"/>
        <d v="2025-06-28T13:00:39Z"/>
        <d v="2025-06-23T07:48:28Z"/>
        <d v="2025-05-04T09:34:25Z"/>
        <d v="2025-04-30T11:55:20Z"/>
        <d v="2025-04-30T10:45:04Z"/>
        <d v="2025-04-19T10:56:42Z"/>
        <d v="2025-03-10T10:51:55Z"/>
        <d v="2025-02-16T10:29:36Z"/>
        <d v="2024-12-20T15:12:50Z"/>
        <d v="2024-12-04T11:05:15Z"/>
        <m/>
      </sharedItems>
    </cacheField>
    <cacheField name="Salesforce ID" numFmtId="0">
      <sharedItems containsBlank="1">
        <s v="a1iPJ000000t1zZYAQ"/>
        <s v=""/>
        <s v="a1iPJ000000srLuYAI"/>
        <s v="a1iPJ000000s7CbYAI"/>
        <s v="a1iPJ000000s3TxYAI"/>
        <s v="a1iPJ000000sQwnYAE"/>
        <s v="a1iPJ000000rlLlYAI"/>
        <s v="a1iPJ000000q8azYAA"/>
        <s v="a1iPJ000000q5wTYAQ"/>
        <s v="a1iPJ000000pxu5YAA"/>
        <s v="a1iPJ000000ok7hYAA"/>
        <s v="a1iPJ000000oIjJYAU"/>
        <s v="a1iPJ000000naQXYAY"/>
        <s v="a1iPJ000000n6nRYAQ"/>
        <s v="a1iPJ000000mipxYAA"/>
        <s v="a1iPJ000000lSthYAE"/>
        <s v="a1iPJ000000kmODYAY"/>
        <s v="a1iPJ000000k7EbYAI"/>
        <s v="a1iPJ000000iJmvYAE"/>
        <s v="a1iPJ000000iBW1YAM"/>
        <s v="a1iPJ000000iIkPYAU"/>
        <s v="a1iPJ000000gex7YAA"/>
        <s v="a1iPJ000000fnrBYAQ"/>
        <s v="a1iPJ000000eEc9YAE"/>
        <s v="a1iPJ000000bFePYAU"/>
        <s v="a1iPJ000000aVV7YAM"/>
        <s v="a1iPJ000000V0zpYAC"/>
        <s v="a1iPJ000000Ung1YAC"/>
        <s v="a1iPJ000000UnRVYA0"/>
        <s v="a1iPJ000000TxSvYAK"/>
        <s v="a1iPJ000000QxndYAC"/>
        <s v="a1iPJ000000PWHdYAO"/>
        <s v="a1iPJ000000LyNlYAK"/>
        <s v="a1iPJ000000L8AfYAK"/>
        <m/>
      </sharedItems>
    </cacheField>
    <cacheField name="Due date">
      <sharedItems containsDate="1" containsBlank="1" containsMixedTypes="1">
        <d v="2026-01-06T00:00:00Z"/>
        <s v=""/>
        <d v="2026-01-08T00:00:00Z"/>
        <d v="2026-02-15T00:00:00Z"/>
        <m/>
      </sharedItems>
    </cacheField>
    <cacheField name="Fix versions" numFmtId="0">
      <sharedItems containsBlank="1">
        <s v="Edge 2026.02.0 - 01/06/2026"/>
        <m/>
      </sharedItems>
    </cacheField>
    <cacheField name="Resolution" numFmtId="0">
      <sharedItems containsBlank="1">
        <s v=""/>
        <m/>
      </sharedItems>
    </cacheField>
    <cacheField name="Client(s)" numFmtId="0">
      <sharedItems containsBlank="1">
        <s v=""/>
        <s v="StorageMart;West Coast"/>
        <s v="StorQuest"/>
        <s v="National Storage Management"/>
        <s v="Storage King"/>
        <s v="MyPlace"/>
        <s v="Copper"/>
        <s v="A-American"/>
        <s v="Copper;Go Store It;StorageMart"/>
        <s v="West Coast"/>
        <s v="A-American;MyPlace"/>
        <s v="StorageMart"/>
        <s v="StorageMart;StorQuest"/>
        <s v="All Aboard Storage"/>
        <s v="Go Store It"/>
        <s v="Spartan"/>
        <s v="10 Federal"/>
        <m/>
      </sharedItems>
    </cacheField>
    <cacheField name="Labels" numFmtId="0">
      <sharedItems containsBlank="1">
        <s v="edge-holiday-blitzen-2025;prio-software"/>
        <s v="edge-holiday-blitzen-2025;otr_bugs_2026;prio-software"/>
        <s v="otr_bugs_2025;prio-software"/>
        <s v="prio-software"/>
        <s v=""/>
        <s v="edge-2025-blitz-top-30;edge-holiday-blitzen-2025;jl_bugs_2026;prio-software"/>
        <s v="edge-2025-blitz-top-30;edge-holiday-blitzen-2025;prio-software"/>
        <s v="jl_bugs_2026;prio-software"/>
        <s v="edge-2025-blitz-top-30;edge-holiday-blitzen-2025;ins_dependency;prio-insurance;prio-software"/>
        <s v="edge-holiday-blitzen-2025;jl_bugs_2026;prio-software"/>
        <s v="code_cs_email_sent;code_notified;code_notified_yellow;edge-holiday-blitzen-2025;prio-software"/>
        <m/>
      </sharedItems>
    </cacheField>
    <cacheField name="client(s)2" numFmtId="0">
      <sharedItems containsBlank="1">
        <s v=""/>
        <s v="StorageMart;West Coast"/>
        <s v="StorQuest"/>
        <s v="StorageMart"/>
        <s v="National Storage Management"/>
        <s v="Storage King"/>
        <s v="MyPlace"/>
        <s v="Copper"/>
        <s v="A-American"/>
        <s v="Copper;StorageMart"/>
        <s v="West Coast"/>
        <s v="StorageMart;StorQuest"/>
        <s v="All Aboard Storage"/>
        <s v="Go Store It"/>
        <s v="10 Federal"/>
        <m/>
      </sharedItems>
    </cacheField>
    <cacheField name="labels2" numFmtId="0">
      <sharedItems containsBlank="1">
        <s v="edge-holiday-blitzen-2025;prio-software"/>
        <s v="edge-holiday-blitzen-2025;otr_bugs_2026;prio-software"/>
        <s v="edge-2025-blitz-top-30;edge-holiday-blitzen-2025;jl_bugs_2026;prio-software"/>
        <s v="edge-2025-blitz-top-30;edge-holiday-blitzen-2025;prio-software"/>
        <s v="edge-2025-blitz-top-30;edge-holiday-blitzen-2025;ins_dependency;prio-insurance;prio-software"/>
        <s v="edge-holiday-blitzen-2025;jl_bugs_2026;prio-software"/>
        <s v="code_cs_email_sent;code_notified;code_notified_yellow;edge-holiday-blitzen-2025;prio-software"/>
        <m/>
      </sharedItems>
    </cacheField>
    <cacheField name="client(s)3" numFmtId="0">
      <sharedItems containsBlank="1">
        <s v="West Coast"/>
        <s v=""/>
        <s v="StorageMart"/>
        <s v="StorQuest"/>
        <s v="Storage King"/>
        <s v="National Storage Management"/>
        <s v="Columbia;West Coast"/>
        <s v="A-American"/>
        <s v="Public Storage Canada"/>
        <s v="All Aboard Storage"/>
        <s v="Spartan"/>
        <s v="The Storage Mall"/>
        <s v="Go Store It"/>
        <s v="StorEase"/>
        <s v="The Lock Up"/>
        <m/>
      </sharedItems>
    </cacheField>
    <cacheField name="Clients" numFmtId="0">
      <sharedItems containsBlank="1">
        <s v="West Coast"/>
        <s v="Other"/>
        <s v="StorageMart"/>
        <s v="StorQuest"/>
        <s v="Storage King"/>
        <s v="National Storage Management"/>
        <s v="Columbia, West Coast"/>
        <s v="A-American"/>
        <s v="Public Storage Canada"/>
        <s v="All Aboard Storage"/>
        <s v="Spartan"/>
        <s v="The Storage Mall"/>
        <s v="Go Store It"/>
        <s v="StorEase"/>
        <s v="The Lock Up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# per Client" cacheId="0" dataCaption="" compact="0" compactData="0">
  <location ref="A1:B18" firstHeaderRow="0" firstDataRow="1" firstDataCol="0"/>
  <pivotFields>
    <pivotField name="Issue Type" compact="0" outline="0" multipleItemSelectionAllowed="1" showAll="0">
      <items>
        <item x="0"/>
        <item x="1"/>
        <item t="default"/>
      </items>
    </pivotField>
    <pivotField name="K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umm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Creat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alesforc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Due da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ix versions" compact="0" outline="0" multipleItemSelectionAllowed="1" showAll="0">
      <items>
        <item x="0"/>
        <item x="1"/>
        <item t="default"/>
      </items>
    </pivotField>
    <pivotField name="Resolution" compact="0" outline="0" multipleItemSelectionAllowed="1" showAll="0">
      <items>
        <item x="0"/>
        <item x="1"/>
        <item t="default"/>
      </items>
    </pivotField>
    <pivotField name="Client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Labe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lient(s)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abels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lient(s)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lients" axis="axisRow" dataField="1" compact="0" outline="0" multipleItemSelectionAllowed="1" showAll="0" sortType="ascending">
      <items>
        <item x="15"/>
        <item x="7"/>
        <item x="9"/>
        <item x="6"/>
        <item x="12"/>
        <item x="5"/>
        <item x="1"/>
        <item x="8"/>
        <item x="10"/>
        <item x="4"/>
        <item x="2"/>
        <item x="13"/>
        <item x="3"/>
        <item x="14"/>
        <item x="11"/>
        <item x="0"/>
        <item t="default"/>
      </items>
    </pivotField>
  </pivotFields>
  <rowFields>
    <field x="14"/>
  </rowFields>
  <dataFields>
    <dataField name="COUNTA of Clients" fld="1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0.88"/>
    <col customWidth="1" min="3" max="3" width="9.0"/>
    <col customWidth="1" min="4" max="4" width="10.75"/>
    <col customWidth="1" min="5" max="5" width="9.0"/>
    <col customWidth="1" min="6" max="6" width="10.88"/>
    <col customWidth="1" min="7" max="7" width="16.25"/>
    <col customWidth="1" min="8" max="8" width="17.63"/>
    <col customWidth="1" min="9" max="9" width="16.25"/>
    <col customWidth="1" min="10" max="10" width="19.38"/>
    <col customWidth="1" min="11" max="11" width="9.38"/>
    <col customWidth="1" min="12" max="12" width="25.5"/>
    <col customWidth="1" min="13" max="13" width="15.0"/>
    <col customWidth="1" min="14" max="14" width="25.75"/>
    <col customWidth="1" min="15" max="15" width="3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</v>
      </c>
      <c r="M1" s="1" t="s">
        <v>10</v>
      </c>
      <c r="N1" s="1" t="s">
        <v>9</v>
      </c>
      <c r="O1" s="2" t="s">
        <v>11</v>
      </c>
    </row>
    <row r="2">
      <c r="A2" s="1" t="s">
        <v>12</v>
      </c>
      <c r="B2" s="3" t="str">
        <f>HYPERLINK("https://sparefoot.atlassian.net/browse/STOR-21244?atlOrigin=eyJpIjoiYzgwYTQ0ZjEyNzQzNGJhN2JmNjEyZTM0NmRhZWZhNjIiLCJwIjoic2hlZXRzLWppcmEifQ","STOR-21244")</f>
        <v>STOR-21244</v>
      </c>
      <c r="C2" s="1" t="s">
        <v>13</v>
      </c>
      <c r="D2" s="1" t="s">
        <v>14</v>
      </c>
      <c r="E2" s="4">
        <v>46014.5015625</v>
      </c>
      <c r="F2" s="1" t="s">
        <v>15</v>
      </c>
      <c r="G2" s="5">
        <v>46028.0</v>
      </c>
      <c r="H2" s="1" t="s">
        <v>16</v>
      </c>
      <c r="I2" s="1" t="s">
        <v>17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19</v>
      </c>
      <c r="O2" s="6" t="s">
        <v>19</v>
      </c>
    </row>
    <row r="3">
      <c r="A3" s="1" t="s">
        <v>12</v>
      </c>
      <c r="B3" s="3" t="str">
        <f>HYPERLINK("https://sparefoot.atlassian.net/browse/STOR-21222?atlOrigin=eyJpIjoiYzgwYTQ0ZjEyNzQzNGJhN2JmNjEyZTM0NmRhZWZhNjIiLCJwIjoic2hlZXRzLWppcmEifQ","STOR-21222")</f>
        <v>STOR-21222</v>
      </c>
      <c r="C3" s="1" t="s">
        <v>20</v>
      </c>
      <c r="D3" s="1" t="s">
        <v>21</v>
      </c>
      <c r="E3" s="4">
        <v>46014.44734953704</v>
      </c>
      <c r="F3" s="1" t="s">
        <v>17</v>
      </c>
      <c r="G3" s="5">
        <v>46028.0</v>
      </c>
      <c r="H3" s="1" t="s">
        <v>16</v>
      </c>
      <c r="I3" s="1" t="s">
        <v>17</v>
      </c>
      <c r="J3" s="1" t="s">
        <v>17</v>
      </c>
      <c r="K3" s="1" t="s">
        <v>18</v>
      </c>
      <c r="L3" s="1" t="s">
        <v>17</v>
      </c>
      <c r="M3" s="1" t="s">
        <v>18</v>
      </c>
      <c r="N3" s="1" t="s">
        <v>17</v>
      </c>
      <c r="O3" s="2" t="s">
        <v>22</v>
      </c>
    </row>
    <row r="4">
      <c r="A4" s="1" t="s">
        <v>12</v>
      </c>
      <c r="B4" s="3" t="str">
        <f>HYPERLINK("https://sparefoot.atlassian.net/browse/STOR-21209?atlOrigin=eyJpIjoiYzgwYTQ0ZjEyNzQzNGJhN2JmNjEyZTM0NmRhZWZhNjIiLCJwIjoic2hlZXRzLWppcmEifQ","STOR-21209")</f>
        <v>STOR-21209</v>
      </c>
      <c r="C4" s="1" t="s">
        <v>23</v>
      </c>
      <c r="D4" s="1" t="s">
        <v>14</v>
      </c>
      <c r="E4" s="4">
        <v>46012.49790509259</v>
      </c>
      <c r="F4" s="1" t="s">
        <v>24</v>
      </c>
      <c r="G4" s="5">
        <v>46028.0</v>
      </c>
      <c r="H4" s="1" t="s">
        <v>16</v>
      </c>
      <c r="I4" s="1" t="s">
        <v>17</v>
      </c>
      <c r="J4" s="1" t="s">
        <v>25</v>
      </c>
      <c r="K4" s="1" t="s">
        <v>18</v>
      </c>
      <c r="L4" s="1" t="s">
        <v>25</v>
      </c>
      <c r="M4" s="1" t="s">
        <v>18</v>
      </c>
      <c r="N4" s="1" t="s">
        <v>19</v>
      </c>
      <c r="O4" s="6" t="s">
        <v>19</v>
      </c>
    </row>
    <row r="5">
      <c r="A5" s="1" t="s">
        <v>12</v>
      </c>
      <c r="B5" s="3" t="str">
        <f>HYPERLINK("https://sparefoot.atlassian.net/browse/STOR-21099?atlOrigin=eyJpIjoiYzgwYTQ0ZjEyNzQzNGJhN2JmNjEyZTM0NmRhZWZhNjIiLCJwIjoic2hlZXRzLWppcmEifQ","STOR-21099")</f>
        <v>STOR-21099</v>
      </c>
      <c r="C5" s="1" t="s">
        <v>26</v>
      </c>
      <c r="D5" s="1" t="s">
        <v>14</v>
      </c>
      <c r="E5" s="4">
        <v>46004.34358796296</v>
      </c>
      <c r="F5" s="1" t="s">
        <v>27</v>
      </c>
      <c r="G5" s="5">
        <v>46028.0</v>
      </c>
      <c r="H5" s="1" t="s">
        <v>16</v>
      </c>
      <c r="I5" s="1" t="s">
        <v>17</v>
      </c>
      <c r="J5" s="1" t="s">
        <v>28</v>
      </c>
      <c r="K5" s="1" t="s">
        <v>18</v>
      </c>
      <c r="L5" s="1" t="s">
        <v>28</v>
      </c>
      <c r="M5" s="1" t="s">
        <v>18</v>
      </c>
      <c r="N5" s="1" t="s">
        <v>29</v>
      </c>
      <c r="O5" s="6" t="s">
        <v>29</v>
      </c>
    </row>
    <row r="6">
      <c r="A6" s="1" t="s">
        <v>12</v>
      </c>
      <c r="B6" s="3" t="str">
        <f>HYPERLINK("https://sparefoot.atlassian.net/browse/STOR-21074?atlOrigin=eyJpIjoiYzgwYTQ0ZjEyNzQzNGJhN2JmNjEyZTM0NmRhZWZhNjIiLCJwIjoic2hlZXRzLWppcmEifQ","STOR-21074")</f>
        <v>STOR-21074</v>
      </c>
      <c r="C6" s="1" t="s">
        <v>30</v>
      </c>
      <c r="D6" s="1" t="s">
        <v>14</v>
      </c>
      <c r="E6" s="4">
        <v>46003.51127314815</v>
      </c>
      <c r="F6" s="1" t="s">
        <v>31</v>
      </c>
      <c r="G6" s="5">
        <v>46028.0</v>
      </c>
      <c r="H6" s="1" t="s">
        <v>16</v>
      </c>
      <c r="I6" s="1" t="s">
        <v>17</v>
      </c>
      <c r="J6" s="1" t="s">
        <v>25</v>
      </c>
      <c r="K6" s="1" t="s">
        <v>32</v>
      </c>
      <c r="L6" s="1" t="s">
        <v>29</v>
      </c>
      <c r="M6" s="1" t="s">
        <v>32</v>
      </c>
      <c r="N6" s="1" t="s">
        <v>28</v>
      </c>
      <c r="O6" s="6" t="s">
        <v>28</v>
      </c>
    </row>
    <row r="7">
      <c r="A7" s="1" t="s">
        <v>12</v>
      </c>
      <c r="B7" s="3" t="str">
        <f>HYPERLINK("https://sparefoot.atlassian.net/browse/STOR-21049?atlOrigin=eyJpIjoiYzgwYTQ0ZjEyNzQzNGJhN2JmNjEyZTM0NmRhZWZhNjIiLCJwIjoic2hlZXRzLWppcmEifQ","STOR-21049")</f>
        <v>STOR-21049</v>
      </c>
      <c r="C7" s="1" t="s">
        <v>33</v>
      </c>
      <c r="D7" s="1" t="s">
        <v>14</v>
      </c>
      <c r="E7" s="4">
        <v>46001.992997685185</v>
      </c>
      <c r="F7" s="1" t="s">
        <v>34</v>
      </c>
      <c r="G7" s="1" t="s">
        <v>17</v>
      </c>
      <c r="H7" s="1" t="s">
        <v>16</v>
      </c>
      <c r="I7" s="1" t="s">
        <v>17</v>
      </c>
      <c r="J7" s="1" t="s">
        <v>17</v>
      </c>
      <c r="K7" s="1" t="s">
        <v>35</v>
      </c>
      <c r="L7" s="1" t="s">
        <v>17</v>
      </c>
      <c r="M7" s="1" t="s">
        <v>18</v>
      </c>
      <c r="N7" s="1" t="s">
        <v>36</v>
      </c>
      <c r="O7" s="6" t="s">
        <v>36</v>
      </c>
    </row>
    <row r="8">
      <c r="A8" s="1" t="s">
        <v>12</v>
      </c>
      <c r="B8" s="3" t="str">
        <f>HYPERLINK("https://sparefoot.atlassian.net/browse/STOR-21041?atlOrigin=eyJpIjoiYzgwYTQ0ZjEyNzQzNGJhN2JmNjEyZTM0NmRhZWZhNjIiLCJwIjoic2hlZXRzLWppcmEifQ","STOR-21041")</f>
        <v>STOR-21041</v>
      </c>
      <c r="C8" s="1" t="s">
        <v>37</v>
      </c>
      <c r="D8" s="1" t="s">
        <v>14</v>
      </c>
      <c r="E8" s="4">
        <v>46001.500543981485</v>
      </c>
      <c r="F8" s="1" t="s">
        <v>38</v>
      </c>
      <c r="G8" s="5">
        <v>46030.0</v>
      </c>
      <c r="H8" s="1" t="s">
        <v>16</v>
      </c>
      <c r="I8" s="1" t="s">
        <v>17</v>
      </c>
      <c r="J8" s="1" t="s">
        <v>17</v>
      </c>
      <c r="K8" s="1" t="s">
        <v>39</v>
      </c>
      <c r="L8" s="1" t="s">
        <v>40</v>
      </c>
      <c r="M8" s="1" t="s">
        <v>41</v>
      </c>
      <c r="N8" s="1" t="s">
        <v>19</v>
      </c>
      <c r="O8" s="6" t="s">
        <v>19</v>
      </c>
    </row>
    <row r="9">
      <c r="A9" s="1" t="s">
        <v>12</v>
      </c>
      <c r="B9" s="3" t="str">
        <f>HYPERLINK("https://sparefoot.atlassian.net/browse/STOR-21024?atlOrigin=eyJpIjoiYzgwYTQ0ZjEyNzQzNGJhN2JmNjEyZTM0NmRhZWZhNjIiLCJwIjoic2hlZXRzLWppcmEifQ","STOR-21024")</f>
        <v>STOR-21024</v>
      </c>
      <c r="C9" s="1" t="s">
        <v>42</v>
      </c>
      <c r="D9" s="1" t="s">
        <v>14</v>
      </c>
      <c r="E9" s="4">
        <v>45996.17940972222</v>
      </c>
      <c r="F9" s="1" t="s">
        <v>17</v>
      </c>
      <c r="G9" s="1" t="s">
        <v>17</v>
      </c>
      <c r="H9" s="1" t="s">
        <v>16</v>
      </c>
      <c r="I9" s="1" t="s">
        <v>17</v>
      </c>
      <c r="J9" s="1" t="s">
        <v>17</v>
      </c>
      <c r="K9" s="1" t="s">
        <v>17</v>
      </c>
      <c r="L9" s="1" t="s">
        <v>36</v>
      </c>
      <c r="M9" s="1" t="s">
        <v>18</v>
      </c>
      <c r="N9" s="1" t="s">
        <v>40</v>
      </c>
      <c r="O9" s="6" t="s">
        <v>40</v>
      </c>
    </row>
    <row r="10">
      <c r="A10" s="1" t="s">
        <v>12</v>
      </c>
      <c r="B10" s="3" t="str">
        <f>HYPERLINK("https://sparefoot.atlassian.net/browse/STOR-20881?atlOrigin=eyJpIjoiYzgwYTQ0ZjEyNzQzNGJhN2JmNjEyZTM0NmRhZWZhNjIiLCJwIjoic2hlZXRzLWppcmEifQ","STOR-20881")</f>
        <v>STOR-20881</v>
      </c>
      <c r="C10" s="1" t="s">
        <v>43</v>
      </c>
      <c r="D10" s="1" t="s">
        <v>14</v>
      </c>
      <c r="E10" s="4">
        <v>45986.460914351854</v>
      </c>
      <c r="F10" s="1" t="s">
        <v>44</v>
      </c>
      <c r="G10" s="5">
        <v>46028.0</v>
      </c>
      <c r="H10" s="1" t="s">
        <v>16</v>
      </c>
      <c r="I10" s="1" t="s">
        <v>17</v>
      </c>
      <c r="J10" s="1" t="s">
        <v>17</v>
      </c>
      <c r="K10" s="1" t="s">
        <v>18</v>
      </c>
      <c r="L10" s="1" t="s">
        <v>36</v>
      </c>
      <c r="M10" s="1" t="s">
        <v>18</v>
      </c>
      <c r="N10" s="1" t="s">
        <v>19</v>
      </c>
      <c r="O10" s="6" t="s">
        <v>19</v>
      </c>
    </row>
    <row r="11">
      <c r="A11" s="1" t="s">
        <v>12</v>
      </c>
      <c r="B11" s="3" t="str">
        <f>HYPERLINK("https://sparefoot.atlassian.net/browse/STOR-20864?atlOrigin=eyJpIjoiYzgwYTQ0ZjEyNzQzNGJhN2JmNjEyZTM0NmRhZWZhNjIiLCJwIjoic2hlZXRzLWppcmEifQ","STOR-20864")</f>
        <v>STOR-20864</v>
      </c>
      <c r="C11" s="1" t="s">
        <v>45</v>
      </c>
      <c r="D11" s="1" t="s">
        <v>14</v>
      </c>
      <c r="E11" s="4">
        <v>45986.33253472222</v>
      </c>
      <c r="F11" s="1" t="s">
        <v>46</v>
      </c>
      <c r="G11" s="5">
        <v>46028.0</v>
      </c>
      <c r="H11" s="1" t="s">
        <v>16</v>
      </c>
      <c r="I11" s="1" t="s">
        <v>17</v>
      </c>
      <c r="J11" s="1" t="s">
        <v>40</v>
      </c>
      <c r="K11" s="1" t="s">
        <v>41</v>
      </c>
      <c r="L11" s="1" t="s">
        <v>47</v>
      </c>
      <c r="M11" s="1" t="s">
        <v>48</v>
      </c>
      <c r="N11" s="1" t="s">
        <v>19</v>
      </c>
      <c r="O11" s="6" t="s">
        <v>19</v>
      </c>
    </row>
    <row r="12">
      <c r="A12" s="1" t="s">
        <v>12</v>
      </c>
      <c r="B12" s="3" t="str">
        <f>HYPERLINK("https://sparefoot.atlassian.net/browse/STOR-20845?atlOrigin=eyJpIjoiYzgwYTQ0ZjEyNzQzNGJhN2JmNjEyZTM0NmRhZWZhNjIiLCJwIjoic2hlZXRzLWppcmEifQ","STOR-20845")</f>
        <v>STOR-20845</v>
      </c>
      <c r="C12" s="1" t="s">
        <v>49</v>
      </c>
      <c r="D12" s="1" t="s">
        <v>14</v>
      </c>
      <c r="E12" s="4">
        <v>45985.35811342593</v>
      </c>
      <c r="F12" s="1" t="s">
        <v>50</v>
      </c>
      <c r="G12" s="5">
        <v>46028.0</v>
      </c>
      <c r="H12" s="1" t="s">
        <v>16</v>
      </c>
      <c r="I12" s="1" t="s">
        <v>17</v>
      </c>
      <c r="J12" s="1" t="s">
        <v>36</v>
      </c>
      <c r="K12" s="1" t="s">
        <v>18</v>
      </c>
      <c r="L12" s="1" t="s">
        <v>51</v>
      </c>
      <c r="M12" s="1" t="s">
        <v>18</v>
      </c>
      <c r="N12" s="1" t="s">
        <v>36</v>
      </c>
      <c r="O12" s="6" t="s">
        <v>36</v>
      </c>
    </row>
    <row r="13">
      <c r="A13" s="1" t="s">
        <v>12</v>
      </c>
      <c r="B13" s="3" t="str">
        <f>HYPERLINK("https://sparefoot.atlassian.net/browse/STOR-20733?atlOrigin=eyJpIjoiYzgwYTQ0ZjEyNzQzNGJhN2JmNjEyZTM0NmRhZWZhNjIiLCJwIjoic2hlZXRzLWppcmEifQ","STOR-20733")</f>
        <v>STOR-20733</v>
      </c>
      <c r="C13" s="1" t="s">
        <v>52</v>
      </c>
      <c r="D13" s="1" t="s">
        <v>14</v>
      </c>
      <c r="E13" s="4">
        <v>45974.34611111111</v>
      </c>
      <c r="F13" s="1" t="s">
        <v>53</v>
      </c>
      <c r="G13" s="5">
        <v>46028.0</v>
      </c>
      <c r="H13" s="1" t="s">
        <v>16</v>
      </c>
      <c r="I13" s="1" t="s">
        <v>17</v>
      </c>
      <c r="J13" s="1" t="s">
        <v>36</v>
      </c>
      <c r="K13" s="1" t="s">
        <v>18</v>
      </c>
      <c r="L13" s="1" t="s">
        <v>54</v>
      </c>
      <c r="M13" s="1" t="s">
        <v>18</v>
      </c>
      <c r="N13" s="1" t="s">
        <v>55</v>
      </c>
      <c r="O13" s="6" t="s">
        <v>56</v>
      </c>
    </row>
    <row r="14">
      <c r="A14" s="1" t="s">
        <v>12</v>
      </c>
      <c r="B14" s="3" t="str">
        <f>HYPERLINK("https://sparefoot.atlassian.net/browse/STOR-20688?atlOrigin=eyJpIjoiYzgwYTQ0ZjEyNzQzNGJhN2JmNjEyZTM0NmRhZWZhNjIiLCJwIjoic2hlZXRzLWppcmEifQ","STOR-20688")</f>
        <v>STOR-20688</v>
      </c>
      <c r="C14" s="1" t="s">
        <v>57</v>
      </c>
      <c r="D14" s="1" t="s">
        <v>14</v>
      </c>
      <c r="E14" s="4">
        <v>45969.404178240744</v>
      </c>
      <c r="F14" s="1" t="s">
        <v>58</v>
      </c>
      <c r="G14" s="5">
        <v>46028.0</v>
      </c>
      <c r="H14" s="1" t="s">
        <v>16</v>
      </c>
      <c r="I14" s="1" t="s">
        <v>17</v>
      </c>
      <c r="J14" s="1" t="s">
        <v>47</v>
      </c>
      <c r="K14" s="1" t="s">
        <v>48</v>
      </c>
      <c r="L14" s="1" t="s">
        <v>59</v>
      </c>
      <c r="M14" s="1" t="s">
        <v>18</v>
      </c>
      <c r="N14" s="1" t="s">
        <v>54</v>
      </c>
      <c r="O14" s="6" t="s">
        <v>54</v>
      </c>
    </row>
    <row r="15">
      <c r="A15" s="1" t="s">
        <v>12</v>
      </c>
      <c r="B15" s="3" t="str">
        <f>HYPERLINK("https://sparefoot.atlassian.net/browse/STOR-20637?atlOrigin=eyJpIjoiYzgwYTQ0ZjEyNzQzNGJhN2JmNjEyZTM0NmRhZWZhNjIiLCJwIjoic2hlZXRzLWppcmEifQ","STOR-20637")</f>
        <v>STOR-20637</v>
      </c>
      <c r="C15" s="1" t="s">
        <v>60</v>
      </c>
      <c r="D15" s="1" t="s">
        <v>14</v>
      </c>
      <c r="E15" s="4">
        <v>45965.33054398148</v>
      </c>
      <c r="F15" s="1" t="s">
        <v>61</v>
      </c>
      <c r="G15" s="5">
        <v>46028.0</v>
      </c>
      <c r="H15" s="1" t="s">
        <v>16</v>
      </c>
      <c r="I15" s="1" t="s">
        <v>17</v>
      </c>
      <c r="J15" s="1" t="s">
        <v>51</v>
      </c>
      <c r="K15" s="1" t="s">
        <v>18</v>
      </c>
      <c r="L15" s="1" t="s">
        <v>19</v>
      </c>
      <c r="M15" s="1" t="s">
        <v>18</v>
      </c>
      <c r="N15" s="1" t="s">
        <v>62</v>
      </c>
      <c r="O15" s="6" t="s">
        <v>62</v>
      </c>
    </row>
    <row r="16">
      <c r="A16" s="1" t="s">
        <v>12</v>
      </c>
      <c r="B16" s="3" t="str">
        <f>HYPERLINK("https://sparefoot.atlassian.net/browse/STOR-20568?atlOrigin=eyJpIjoiYzgwYTQ0ZjEyNzQzNGJhN2JmNjEyZTM0NmRhZWZhNjIiLCJwIjoic2hlZXRzLWppcmEifQ","STOR-20568")</f>
        <v>STOR-20568</v>
      </c>
      <c r="C16" s="1" t="s">
        <v>63</v>
      </c>
      <c r="D16" s="1" t="s">
        <v>14</v>
      </c>
      <c r="E16" s="4">
        <v>45960.36068287037</v>
      </c>
      <c r="F16" s="1" t="s">
        <v>64</v>
      </c>
      <c r="G16" s="5">
        <v>46028.0</v>
      </c>
      <c r="H16" s="1" t="s">
        <v>16</v>
      </c>
      <c r="I16" s="1" t="s">
        <v>17</v>
      </c>
      <c r="J16" s="1" t="s">
        <v>54</v>
      </c>
      <c r="K16" s="1" t="s">
        <v>18</v>
      </c>
      <c r="L16" s="1" t="s">
        <v>54</v>
      </c>
      <c r="M16" s="1" t="s">
        <v>18</v>
      </c>
      <c r="N16" s="1" t="s">
        <v>19</v>
      </c>
      <c r="O16" s="6" t="s">
        <v>19</v>
      </c>
    </row>
    <row r="17">
      <c r="A17" s="1" t="s">
        <v>12</v>
      </c>
      <c r="B17" s="3" t="str">
        <f>HYPERLINK("https://sparefoot.atlassian.net/browse/STOR-20538?atlOrigin=eyJpIjoiYzgwYTQ0ZjEyNzQzNGJhN2JmNjEyZTM0NmRhZWZhNjIiLCJwIjoic2hlZXRzLWppcmEifQ","STOR-20538")</f>
        <v>STOR-20538</v>
      </c>
      <c r="C17" s="1" t="s">
        <v>65</v>
      </c>
      <c r="D17" s="1" t="s">
        <v>14</v>
      </c>
      <c r="E17" s="4">
        <v>45955.554756944446</v>
      </c>
      <c r="F17" s="1" t="s">
        <v>66</v>
      </c>
      <c r="G17" s="5">
        <v>46028.0</v>
      </c>
      <c r="H17" s="1" t="s">
        <v>16</v>
      </c>
      <c r="I17" s="1" t="s">
        <v>17</v>
      </c>
      <c r="J17" s="1" t="s">
        <v>67</v>
      </c>
      <c r="K17" s="1" t="s">
        <v>18</v>
      </c>
      <c r="L17" s="1" t="s">
        <v>17</v>
      </c>
      <c r="M17" s="1" t="s">
        <v>68</v>
      </c>
      <c r="N17" s="1" t="s">
        <v>19</v>
      </c>
      <c r="O17" s="6" t="s">
        <v>19</v>
      </c>
    </row>
    <row r="18">
      <c r="A18" s="1" t="s">
        <v>12</v>
      </c>
      <c r="B18" s="3" t="str">
        <f>HYPERLINK("https://sparefoot.atlassian.net/browse/STOR-20420?atlOrigin=eyJpIjoiYzgwYTQ0ZjEyNzQzNGJhN2JmNjEyZTM0NmRhZWZhNjIiLCJwIjoic2hlZXRzLWppcmEifQ","STOR-20420")</f>
        <v>STOR-20420</v>
      </c>
      <c r="C18" s="1" t="s">
        <v>69</v>
      </c>
      <c r="D18" s="1" t="s">
        <v>14</v>
      </c>
      <c r="E18" s="4">
        <v>45945.35491898148</v>
      </c>
      <c r="F18" s="1" t="s">
        <v>70</v>
      </c>
      <c r="G18" s="5">
        <v>46028.0</v>
      </c>
      <c r="H18" s="1" t="s">
        <v>16</v>
      </c>
      <c r="I18" s="1" t="s">
        <v>17</v>
      </c>
      <c r="J18" s="1" t="s">
        <v>19</v>
      </c>
      <c r="K18" s="1" t="s">
        <v>18</v>
      </c>
      <c r="L18" s="1" t="s">
        <v>19</v>
      </c>
      <c r="M18" s="1" t="s">
        <v>18</v>
      </c>
      <c r="N18" s="1" t="s">
        <v>71</v>
      </c>
      <c r="O18" s="6" t="s">
        <v>71</v>
      </c>
    </row>
    <row r="19">
      <c r="A19" s="1" t="s">
        <v>12</v>
      </c>
      <c r="B19" s="3" t="str">
        <f>HYPERLINK("https://sparefoot.atlassian.net/browse/STOR-20327?atlOrigin=eyJpIjoiYzgwYTQ0ZjEyNzQzNGJhN2JmNjEyZTM0NmRhZWZhNjIiLCJwIjoic2hlZXRzLWppcmEifQ","STOR-20327")</f>
        <v>STOR-20327</v>
      </c>
      <c r="C19" s="1" t="s">
        <v>72</v>
      </c>
      <c r="D19" s="1" t="s">
        <v>14</v>
      </c>
      <c r="E19" s="4">
        <v>45937.43869212963</v>
      </c>
      <c r="F19" s="1" t="s">
        <v>73</v>
      </c>
      <c r="G19" s="5">
        <v>46028.0</v>
      </c>
      <c r="H19" s="1" t="s">
        <v>16</v>
      </c>
      <c r="I19" s="1" t="s">
        <v>17</v>
      </c>
      <c r="J19" s="1" t="s">
        <v>74</v>
      </c>
      <c r="K19" s="1" t="s">
        <v>18</v>
      </c>
      <c r="L19" s="1" t="s">
        <v>75</v>
      </c>
      <c r="M19" s="1" t="s">
        <v>76</v>
      </c>
      <c r="N19" s="1" t="s">
        <v>19</v>
      </c>
      <c r="O19" s="6" t="s">
        <v>19</v>
      </c>
    </row>
    <row r="20">
      <c r="A20" s="1" t="s">
        <v>12</v>
      </c>
      <c r="B20" s="3" t="str">
        <f>HYPERLINK("https://sparefoot.atlassian.net/browse/STOR-20236?atlOrigin=eyJpIjoiYzgwYTQ0ZjEyNzQzNGJhN2JmNjEyZTM0NmRhZWZhNjIiLCJwIjoic2hlZXRzLWppcmEifQ","STOR-20236")</f>
        <v>STOR-20236</v>
      </c>
      <c r="C20" s="1" t="s">
        <v>77</v>
      </c>
      <c r="D20" s="1" t="s">
        <v>14</v>
      </c>
      <c r="E20" s="4">
        <v>45930.66273148148</v>
      </c>
      <c r="F20" s="1" t="s">
        <v>78</v>
      </c>
      <c r="G20" s="5">
        <v>46028.0</v>
      </c>
      <c r="H20" s="1" t="s">
        <v>16</v>
      </c>
      <c r="I20" s="1" t="s">
        <v>17</v>
      </c>
      <c r="J20" s="1" t="s">
        <v>29</v>
      </c>
      <c r="K20" s="1" t="s">
        <v>79</v>
      </c>
      <c r="L20" s="1" t="s">
        <v>71</v>
      </c>
      <c r="M20" s="1" t="s">
        <v>48</v>
      </c>
      <c r="N20" s="1" t="s">
        <v>80</v>
      </c>
      <c r="O20" s="6" t="s">
        <v>80</v>
      </c>
    </row>
    <row r="21">
      <c r="A21" s="1" t="s">
        <v>12</v>
      </c>
      <c r="B21" s="3" t="str">
        <f>HYPERLINK("https://sparefoot.atlassian.net/browse/STOR-20020?atlOrigin=eyJpIjoiYzgwYTQ0ZjEyNzQzNGJhN2JmNjEyZTM0NmRhZWZhNjIiLCJwIjoic2hlZXRzLWppcmEifQ","STOR-20020")</f>
        <v>STOR-20020</v>
      </c>
      <c r="C21" s="1" t="s">
        <v>81</v>
      </c>
      <c r="D21" s="1" t="s">
        <v>14</v>
      </c>
      <c r="E21" s="4">
        <v>45914.43994212963</v>
      </c>
      <c r="F21" s="1" t="s">
        <v>82</v>
      </c>
      <c r="G21" s="5">
        <v>46028.0</v>
      </c>
      <c r="H21" s="1" t="s">
        <v>16</v>
      </c>
      <c r="I21" s="1" t="s">
        <v>17</v>
      </c>
      <c r="J21" s="1" t="s">
        <v>17</v>
      </c>
      <c r="K21" s="1" t="s">
        <v>68</v>
      </c>
      <c r="L21" s="1" t="s">
        <v>17</v>
      </c>
      <c r="M21" s="1" t="s">
        <v>48</v>
      </c>
      <c r="N21" s="1" t="s">
        <v>83</v>
      </c>
      <c r="O21" s="6" t="s">
        <v>83</v>
      </c>
    </row>
    <row r="22">
      <c r="A22" s="1" t="s">
        <v>12</v>
      </c>
      <c r="B22" s="3" t="str">
        <f>HYPERLINK("https://sparefoot.atlassian.net/browse/STOR-19951?atlOrigin=eyJpIjoiYzgwYTQ0ZjEyNzQzNGJhN2JmNjEyZTM0NmRhZWZhNjIiLCJwIjoic2hlZXRzLWppcmEifQ","STOR-19951")</f>
        <v>STOR-19951</v>
      </c>
      <c r="C22" s="1" t="s">
        <v>84</v>
      </c>
      <c r="D22" s="1" t="s">
        <v>14</v>
      </c>
      <c r="E22" s="4">
        <v>45912.71854166667</v>
      </c>
      <c r="F22" s="1" t="s">
        <v>85</v>
      </c>
      <c r="G22" s="5">
        <v>46068.0</v>
      </c>
      <c r="H22" s="1" t="s">
        <v>16</v>
      </c>
      <c r="I22" s="1" t="s">
        <v>17</v>
      </c>
      <c r="J22" s="1" t="s">
        <v>17</v>
      </c>
      <c r="K22" s="1" t="s">
        <v>39</v>
      </c>
      <c r="L22" s="1" t="s">
        <v>17</v>
      </c>
      <c r="M22" s="1" t="s">
        <v>18</v>
      </c>
      <c r="N22" s="1" t="s">
        <v>80</v>
      </c>
      <c r="O22" s="6" t="s">
        <v>80</v>
      </c>
    </row>
    <row r="23">
      <c r="A23" s="1" t="s">
        <v>12</v>
      </c>
      <c r="B23" s="3" t="str">
        <f>HYPERLINK("https://sparefoot.atlassian.net/browse/STOR-19950?atlOrigin=eyJpIjoiYzgwYTQ0ZjEyNzQzNGJhN2JmNjEyZTM0NmRhZWZhNjIiLCJwIjoic2hlZXRzLWppcmEifQ","STOR-19950")</f>
        <v>STOR-19950</v>
      </c>
      <c r="C23" s="1" t="s">
        <v>86</v>
      </c>
      <c r="D23" s="1" t="s">
        <v>14</v>
      </c>
      <c r="E23" s="4">
        <v>45913.654756944445</v>
      </c>
      <c r="F23" s="1" t="s">
        <v>87</v>
      </c>
      <c r="G23" s="5">
        <v>46028.0</v>
      </c>
      <c r="H23" s="1" t="s">
        <v>16</v>
      </c>
      <c r="I23" s="1" t="s">
        <v>17</v>
      </c>
      <c r="J23" s="1" t="s">
        <v>19</v>
      </c>
      <c r="K23" s="1" t="s">
        <v>18</v>
      </c>
      <c r="L23" s="1" t="s">
        <v>71</v>
      </c>
      <c r="M23" s="1" t="s">
        <v>48</v>
      </c>
      <c r="N23" s="1" t="s">
        <v>88</v>
      </c>
      <c r="O23" s="6" t="s">
        <v>88</v>
      </c>
    </row>
    <row r="24">
      <c r="A24" s="1" t="s">
        <v>12</v>
      </c>
      <c r="B24" s="3" t="str">
        <f>HYPERLINK("https://sparefoot.atlassian.net/browse/STOR-19771?atlOrigin=eyJpIjoiYzgwYTQ0ZjEyNzQzNGJhN2JmNjEyZTM0NmRhZWZhNjIiLCJwIjoic2hlZXRzLWppcmEifQ","STOR-19771")</f>
        <v>STOR-19771</v>
      </c>
      <c r="C24" s="1" t="s">
        <v>89</v>
      </c>
      <c r="D24" s="1" t="s">
        <v>14</v>
      </c>
      <c r="E24" s="4">
        <v>45896.442199074074</v>
      </c>
      <c r="F24" s="1" t="s">
        <v>90</v>
      </c>
      <c r="G24" s="5">
        <v>46028.0</v>
      </c>
      <c r="H24" s="1" t="s">
        <v>16</v>
      </c>
      <c r="I24" s="1" t="s">
        <v>17</v>
      </c>
      <c r="J24" s="1" t="s">
        <v>75</v>
      </c>
      <c r="K24" s="1" t="s">
        <v>76</v>
      </c>
      <c r="L24" s="1" t="s">
        <v>88</v>
      </c>
      <c r="M24" s="1" t="s">
        <v>48</v>
      </c>
      <c r="N24" s="1" t="s">
        <v>19</v>
      </c>
      <c r="O24" s="6" t="s">
        <v>19</v>
      </c>
    </row>
    <row r="25">
      <c r="A25" s="1" t="s">
        <v>12</v>
      </c>
      <c r="B25" s="3" t="str">
        <f>HYPERLINK("https://sparefoot.atlassian.net/browse/STOR-19624?atlOrigin=eyJpIjoiYzgwYTQ0ZjEyNzQzNGJhN2JmNjEyZTM0NmRhZWZhNjIiLCJwIjoic2hlZXRzLWppcmEifQ","STOR-19624")</f>
        <v>STOR-19624</v>
      </c>
      <c r="C25" s="1" t="s">
        <v>91</v>
      </c>
      <c r="D25" s="1" t="s">
        <v>14</v>
      </c>
      <c r="E25" s="4">
        <v>45888.32</v>
      </c>
      <c r="F25" s="1" t="s">
        <v>92</v>
      </c>
      <c r="G25" s="5">
        <v>46028.0</v>
      </c>
      <c r="H25" s="1" t="s">
        <v>16</v>
      </c>
      <c r="I25" s="1" t="s">
        <v>17</v>
      </c>
      <c r="J25" s="1" t="s">
        <v>71</v>
      </c>
      <c r="K25" s="1" t="s">
        <v>48</v>
      </c>
      <c r="L25" s="1" t="s">
        <v>19</v>
      </c>
      <c r="M25" s="1" t="s">
        <v>48</v>
      </c>
      <c r="N25" s="1" t="s">
        <v>93</v>
      </c>
      <c r="O25" s="6" t="s">
        <v>93</v>
      </c>
    </row>
    <row r="26">
      <c r="A26" s="1" t="s">
        <v>12</v>
      </c>
      <c r="B26" s="3" t="str">
        <f>HYPERLINK("https://sparefoot.atlassian.net/browse/STOR-19425?atlOrigin=eyJpIjoiYzgwYTQ0ZjEyNzQzNGJhN2JmNjEyZTM0NmRhZWZhNjIiLCJwIjoic2hlZXRzLWppcmEifQ","STOR-19425")</f>
        <v>STOR-19425</v>
      </c>
      <c r="C26" s="1" t="s">
        <v>94</v>
      </c>
      <c r="D26" s="1" t="s">
        <v>14</v>
      </c>
      <c r="E26" s="4">
        <v>45868.4025</v>
      </c>
      <c r="F26" s="1" t="s">
        <v>95</v>
      </c>
      <c r="G26" s="5">
        <v>46028.0</v>
      </c>
      <c r="H26" s="1" t="s">
        <v>16</v>
      </c>
      <c r="I26" s="1" t="s">
        <v>17</v>
      </c>
      <c r="J26" s="1" t="s">
        <v>40</v>
      </c>
      <c r="K26" s="1" t="s">
        <v>48</v>
      </c>
      <c r="L26" s="1" t="s">
        <v>19</v>
      </c>
      <c r="M26" s="1" t="s">
        <v>48</v>
      </c>
      <c r="N26" s="1" t="s">
        <v>19</v>
      </c>
      <c r="O26" s="6" t="s">
        <v>19</v>
      </c>
    </row>
    <row r="27">
      <c r="A27" s="1" t="s">
        <v>12</v>
      </c>
      <c r="B27" s="3" t="str">
        <f>HYPERLINK("https://sparefoot.atlassian.net/browse/STOR-19149?atlOrigin=eyJpIjoiYzgwYTQ0ZjEyNzQzNGJhN2JmNjEyZTM0NmRhZWZhNjIiLCJwIjoic2hlZXRzLWppcmEifQ","STOR-19149")</f>
        <v>STOR-19149</v>
      </c>
      <c r="C27" s="1" t="s">
        <v>96</v>
      </c>
      <c r="D27" s="1" t="s">
        <v>14</v>
      </c>
      <c r="E27" s="4">
        <v>45836.54211805556</v>
      </c>
      <c r="F27" s="1" t="s">
        <v>97</v>
      </c>
      <c r="G27" s="5">
        <v>46028.0</v>
      </c>
      <c r="H27" s="1" t="s">
        <v>16</v>
      </c>
      <c r="I27" s="1" t="s">
        <v>17</v>
      </c>
      <c r="J27" s="1" t="s">
        <v>17</v>
      </c>
      <c r="K27" s="1" t="s">
        <v>18</v>
      </c>
      <c r="L27" s="1" t="s">
        <v>17</v>
      </c>
      <c r="M27" s="1" t="s">
        <v>48</v>
      </c>
      <c r="N27" s="1" t="s">
        <v>19</v>
      </c>
      <c r="O27" s="6" t="s">
        <v>19</v>
      </c>
    </row>
    <row r="28">
      <c r="A28" s="1" t="s">
        <v>12</v>
      </c>
      <c r="B28" s="3" t="str">
        <f>HYPERLINK("https://sparefoot.atlassian.net/browse/STOR-19044?atlOrigin=eyJpIjoiYzgwYTQ0ZjEyNzQzNGJhN2JmNjEyZTM0NmRhZWZhNjIiLCJwIjoic2hlZXRzLWppcmEifQ","STOR-19044")</f>
        <v>STOR-19044</v>
      </c>
      <c r="C28" s="1" t="s">
        <v>98</v>
      </c>
      <c r="D28" s="1" t="s">
        <v>14</v>
      </c>
      <c r="E28" s="4">
        <v>45831.325324074074</v>
      </c>
      <c r="F28" s="1" t="s">
        <v>99</v>
      </c>
      <c r="G28" s="5">
        <v>46028.0</v>
      </c>
      <c r="H28" s="1" t="s">
        <v>16</v>
      </c>
      <c r="I28" s="1" t="s">
        <v>17</v>
      </c>
      <c r="J28" s="1" t="s">
        <v>71</v>
      </c>
      <c r="K28" s="1" t="s">
        <v>48</v>
      </c>
      <c r="L28" s="1" t="s">
        <v>100</v>
      </c>
      <c r="M28" s="1" t="s">
        <v>18</v>
      </c>
      <c r="N28" s="1" t="s">
        <v>93</v>
      </c>
      <c r="O28" s="6" t="s">
        <v>93</v>
      </c>
    </row>
    <row r="29">
      <c r="A29" s="1" t="s">
        <v>12</v>
      </c>
      <c r="B29" s="3" t="str">
        <f>HYPERLINK("https://sparefoot.atlassian.net/browse/STOR-18335?atlOrigin=eyJpIjoiYzgwYTQ0ZjEyNzQzNGJhN2JmNjEyZTM0NmRhZWZhNjIiLCJwIjoic2hlZXRzLWppcmEifQ","STOR-18335")</f>
        <v>STOR-18335</v>
      </c>
      <c r="C29" s="1" t="s">
        <v>101</v>
      </c>
      <c r="D29" s="1" t="s">
        <v>14</v>
      </c>
      <c r="E29" s="4">
        <v>45781.39890046296</v>
      </c>
      <c r="F29" s="1" t="s">
        <v>102</v>
      </c>
      <c r="G29" s="5">
        <v>46028.0</v>
      </c>
      <c r="H29" s="1" t="s">
        <v>16</v>
      </c>
      <c r="I29" s="1" t="s">
        <v>17</v>
      </c>
      <c r="J29" s="1" t="s">
        <v>88</v>
      </c>
      <c r="K29" s="1" t="s">
        <v>48</v>
      </c>
      <c r="L29" s="1" t="s">
        <v>71</v>
      </c>
      <c r="M29" s="1" t="s">
        <v>41</v>
      </c>
      <c r="N29" s="1" t="s">
        <v>88</v>
      </c>
      <c r="O29" s="6" t="s">
        <v>88</v>
      </c>
    </row>
    <row r="30">
      <c r="A30" s="1" t="s">
        <v>12</v>
      </c>
      <c r="B30" s="3" t="str">
        <f>HYPERLINK("https://sparefoot.atlassian.net/browse/STOR-18310?atlOrigin=eyJpIjoiYzgwYTQ0ZjEyNzQzNGJhN2JmNjEyZTM0NmRhZWZhNjIiLCJwIjoic2hlZXRzLWppcmEifQ","STOR-18310")</f>
        <v>STOR-18310</v>
      </c>
      <c r="C30" s="1" t="s">
        <v>103</v>
      </c>
      <c r="D30" s="1" t="s">
        <v>14</v>
      </c>
      <c r="E30" s="4">
        <v>45777.49675925926</v>
      </c>
      <c r="F30" s="1" t="s">
        <v>104</v>
      </c>
      <c r="G30" s="5">
        <v>46028.0</v>
      </c>
      <c r="H30" s="1" t="s">
        <v>16</v>
      </c>
      <c r="I30" s="1" t="s">
        <v>17</v>
      </c>
      <c r="J30" s="1" t="s">
        <v>19</v>
      </c>
      <c r="K30" s="1" t="s">
        <v>48</v>
      </c>
      <c r="L30" s="1" t="s">
        <v>17</v>
      </c>
      <c r="M30" s="1" t="s">
        <v>18</v>
      </c>
      <c r="N30" s="1" t="s">
        <v>88</v>
      </c>
      <c r="O30" s="6" t="s">
        <v>88</v>
      </c>
    </row>
    <row r="31">
      <c r="A31" s="1" t="s">
        <v>12</v>
      </c>
      <c r="B31" s="3" t="str">
        <f>HYPERLINK("https://sparefoot.atlassian.net/browse/STOR-18270?atlOrigin=eyJpIjoiYzgwYTQ0ZjEyNzQzNGJhN2JmNjEyZTM0NmRhZWZhNjIiLCJwIjoic2hlZXRzLWppcmEifQ","STOR-18270")</f>
        <v>STOR-18270</v>
      </c>
      <c r="C31" s="1" t="s">
        <v>105</v>
      </c>
      <c r="D31" s="1" t="s">
        <v>14</v>
      </c>
      <c r="E31" s="4">
        <v>45777.447962962964</v>
      </c>
      <c r="F31" s="1" t="s">
        <v>106</v>
      </c>
      <c r="G31" s="5">
        <v>46028.0</v>
      </c>
      <c r="H31" s="1" t="s">
        <v>16</v>
      </c>
      <c r="I31" s="1" t="s">
        <v>17</v>
      </c>
      <c r="J31" s="1" t="s">
        <v>19</v>
      </c>
      <c r="K31" s="1" t="s">
        <v>48</v>
      </c>
      <c r="L31" s="1" t="s">
        <v>17</v>
      </c>
      <c r="M31" s="1" t="s">
        <v>107</v>
      </c>
      <c r="N31" s="1" t="s">
        <v>108</v>
      </c>
      <c r="O31" s="6" t="s">
        <v>108</v>
      </c>
    </row>
    <row r="32">
      <c r="A32" s="1" t="s">
        <v>12</v>
      </c>
      <c r="B32" s="3" t="str">
        <f>HYPERLINK("https://sparefoot.atlassian.net/browse/STOR-18136?atlOrigin=eyJpIjoiYzgwYTQ0ZjEyNzQzNGJhN2JmNjEyZTM0NmRhZWZhNjIiLCJwIjoic2hlZXRzLWppcmEifQ","STOR-18136")</f>
        <v>STOR-18136</v>
      </c>
      <c r="C32" s="1" t="s">
        <v>109</v>
      </c>
      <c r="D32" s="1" t="s">
        <v>14</v>
      </c>
      <c r="E32" s="4">
        <v>45766.456041666665</v>
      </c>
      <c r="F32" s="1" t="s">
        <v>110</v>
      </c>
      <c r="G32" s="5">
        <v>46028.0</v>
      </c>
      <c r="H32" s="1" t="s">
        <v>16</v>
      </c>
      <c r="I32" s="1" t="s">
        <v>17</v>
      </c>
      <c r="J32" s="1" t="s">
        <v>80</v>
      </c>
      <c r="K32" s="1" t="s">
        <v>48</v>
      </c>
      <c r="N32" s="1" t="s">
        <v>19</v>
      </c>
      <c r="O32" s="6" t="s">
        <v>19</v>
      </c>
    </row>
    <row r="33">
      <c r="A33" s="1" t="s">
        <v>12</v>
      </c>
      <c r="B33" s="3" t="str">
        <f>HYPERLINK("https://sparefoot.atlassian.net/browse/STOR-17626?atlOrigin=eyJpIjoiYzgwYTQ0ZjEyNzQzNGJhN2JmNjEyZTM0NmRhZWZhNjIiLCJwIjoic2hlZXRzLWppcmEifQ","STOR-17626")</f>
        <v>STOR-17626</v>
      </c>
      <c r="C33" s="1" t="s">
        <v>111</v>
      </c>
      <c r="D33" s="1" t="s">
        <v>14</v>
      </c>
      <c r="E33" s="4">
        <v>45726.45271990741</v>
      </c>
      <c r="F33" s="1" t="s">
        <v>112</v>
      </c>
      <c r="G33" s="5">
        <v>46028.0</v>
      </c>
      <c r="H33" s="1" t="s">
        <v>16</v>
      </c>
      <c r="I33" s="1" t="s">
        <v>17</v>
      </c>
      <c r="J33" s="1" t="s">
        <v>100</v>
      </c>
      <c r="K33" s="1" t="s">
        <v>18</v>
      </c>
      <c r="O33" s="2" t="s">
        <v>22</v>
      </c>
    </row>
    <row r="34">
      <c r="A34" s="1" t="s">
        <v>12</v>
      </c>
      <c r="B34" s="3" t="str">
        <f>HYPERLINK("https://sparefoot.atlassian.net/browse/STOR-17269?atlOrigin=eyJpIjoiYzgwYTQ0ZjEyNzQzNGJhN2JmNjEyZTM0NmRhZWZhNjIiLCJwIjoic2hlZXRzLWppcmEifQ","STOR-17269")</f>
        <v>STOR-17269</v>
      </c>
      <c r="C34" s="1" t="s">
        <v>113</v>
      </c>
      <c r="D34" s="1" t="s">
        <v>114</v>
      </c>
      <c r="E34" s="4">
        <v>45704.43722222222</v>
      </c>
      <c r="F34" s="1" t="s">
        <v>115</v>
      </c>
      <c r="G34" s="5">
        <v>46028.0</v>
      </c>
      <c r="H34" s="1" t="s">
        <v>16</v>
      </c>
      <c r="I34" s="1" t="s">
        <v>17</v>
      </c>
      <c r="J34" s="1" t="s">
        <v>71</v>
      </c>
      <c r="K34" s="1" t="s">
        <v>41</v>
      </c>
      <c r="O34" s="2" t="s">
        <v>22</v>
      </c>
    </row>
    <row r="35">
      <c r="A35" s="1" t="s">
        <v>12</v>
      </c>
      <c r="B35" s="3" t="str">
        <f>HYPERLINK("https://sparefoot.atlassian.net/browse/STOR-16711?atlOrigin=eyJpIjoiYzgwYTQ0ZjEyNzQzNGJhN2JmNjEyZTM0NmRhZWZhNjIiLCJwIjoic2hlZXRzLWppcmEifQ","STOR-16711")</f>
        <v>STOR-16711</v>
      </c>
      <c r="C35" s="1" t="s">
        <v>116</v>
      </c>
      <c r="D35" s="1" t="s">
        <v>114</v>
      </c>
      <c r="E35" s="4">
        <v>45646.63391203704</v>
      </c>
      <c r="F35" s="1" t="s">
        <v>117</v>
      </c>
      <c r="G35" s="5">
        <v>46028.0</v>
      </c>
      <c r="H35" s="1" t="s">
        <v>16</v>
      </c>
      <c r="I35" s="1" t="s">
        <v>17</v>
      </c>
      <c r="J35" s="1" t="s">
        <v>17</v>
      </c>
      <c r="K35" s="1" t="s">
        <v>18</v>
      </c>
      <c r="O35" s="2" t="s">
        <v>22</v>
      </c>
    </row>
    <row r="36">
      <c r="A36" s="1" t="s">
        <v>12</v>
      </c>
      <c r="B36" s="3" t="str">
        <f>HYPERLINK("https://sparefoot.atlassian.net/browse/STOR-16167?atlOrigin=eyJpIjoiYzgwYTQ0ZjEyNzQzNGJhN2JmNjEyZTM0NmRhZWZhNjIiLCJwIjoic2hlZXRzLWppcmEifQ","STOR-16167")</f>
        <v>STOR-16167</v>
      </c>
      <c r="C36" s="1" t="s">
        <v>118</v>
      </c>
      <c r="D36" s="1" t="s">
        <v>14</v>
      </c>
      <c r="E36" s="4">
        <v>45630.46197916667</v>
      </c>
      <c r="F36" s="1" t="s">
        <v>119</v>
      </c>
      <c r="G36" s="5">
        <v>46028.0</v>
      </c>
      <c r="H36" s="1" t="s">
        <v>16</v>
      </c>
      <c r="I36" s="1" t="s">
        <v>17</v>
      </c>
      <c r="J36" s="1" t="s">
        <v>17</v>
      </c>
      <c r="K36" s="1" t="s">
        <v>107</v>
      </c>
      <c r="O36" s="2" t="s">
        <v>22</v>
      </c>
    </row>
  </sheetData>
  <autoFilter ref="$E$1:$AD$32"/>
  <dataValidations>
    <dataValidation type="list" allowBlank="1" showErrorMessage="1" sqref="O2 O4:O32">
      <formula1>"West Coast,StorageMart,StorQuest,Storage King,National Storage Management,Columbia,A-American,Public Storage Canada,All Aboard Storage,Spartan,The Storage Mall,Go Store It,StorEase,The Lock Up"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63"/>
    <col customWidth="1" min="2" max="2" width="10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